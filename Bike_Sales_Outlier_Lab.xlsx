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dd1365c3332d0/Escritorio/Universidad UAC David/Semestre 7/Programación Para la Analítica de Datos/Migue/Corte 2/Laboratorio/"/>
    </mc:Choice>
  </mc:AlternateContent>
  <xr:revisionPtr revIDLastSave="38" documentId="13_ncr:1_{A78FB299-346F-40AC-B732-EBA1559723A9}" xr6:coauthVersionLast="47" xr6:coauthVersionMax="47" xr10:uidLastSave="{DEEC2CF0-5FB4-4B4C-A0B1-3DD5308788D4}"/>
  <bookViews>
    <workbookView xWindow="-110" yWindow="-110" windowWidth="19420" windowHeight="10300" xr2:uid="{00000000-000D-0000-FFFF-FFFF00000000}"/>
  </bookViews>
  <sheets>
    <sheet name="Hoja2" sheetId="3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3" l="1" a="1"/>
  <c r="C29" i="3" s="1"/>
  <c r="E29" i="3" a="1"/>
  <c r="E29" i="3" s="1"/>
  <c r="A29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<sst xmlns="http://schemas.openxmlformats.org/spreadsheetml/2006/main" count="819" uniqueCount="162">
  <si>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</si>
  <si>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</si>
  <si>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</si>
  <si>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</si>
  <si>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</si>
  <si>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</si>
  <si>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</si>
  <si>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</si>
  <si>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</si>
  <si>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</si>
  <si>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</si>
  <si>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</si>
  <si>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</si>
  <si>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</si>
  <si>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</si>
  <si>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</si>
  <si>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</si>
  <si>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</si>
  <si>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</si>
  <si>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</si>
  <si>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</si>
  <si>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</si>
  <si>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</si>
  <si>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</si>
  <si>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</si>
  <si>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</si>
  <si>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</si>
  <si>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</si>
  <si>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</si>
  <si>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</si>
  <si>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</si>
  <si>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</si>
  <si>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</si>
  <si>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</si>
  <si>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</si>
  <si>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</si>
  <si>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</si>
  <si>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</si>
  <si>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</si>
  <si>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</si>
  <si>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</si>
  <si>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</si>
  <si>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</si>
  <si>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</si>
  <si>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</si>
  <si>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</si>
  <si>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</si>
  <si>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</si>
  <si>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</si>
  <si>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</si>
  <si>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</si>
  <si>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</si>
  <si>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</si>
  <si>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</si>
  <si>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</si>
  <si>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</si>
  <si>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</si>
  <si>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</si>
  <si>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</si>
  <si>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</si>
  <si>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</si>
  <si>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</si>
  <si>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</si>
  <si>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</si>
  <si>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</si>
  <si>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</si>
  <si>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</si>
  <si>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</si>
  <si>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</si>
  <si>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</si>
  <si>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</si>
  <si>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</si>
  <si>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</si>
  <si>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</si>
  <si>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</si>
  <si>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</si>
  <si>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</si>
  <si>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</si>
  <si>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</si>
  <si>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</si>
  <si>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</si>
  <si>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</si>
  <si>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</si>
  <si>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</si>
  <si>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</si>
  <si>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</si>
  <si>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</si>
  <si>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</si>
  <si>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</si>
  <si>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</si>
  <si>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</si>
  <si>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</si>
  <si>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</si>
  <si>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</si>
  <si>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</si>
  <si>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</si>
  <si>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</si>
  <si>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</si>
  <si>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</si>
  <si>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</si>
  <si>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</si>
  <si>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</si>
  <si>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</si>
  <si>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</si>
  <si>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</si>
  <si>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</si>
  <si>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</si>
  <si>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</si>
  <si>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</si>
  <si>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</si>
  <si>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</si>
  <si>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</si>
  <si>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</si>
  <si>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</si>
  <si>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</si>
  <si>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</si>
  <si>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</si>
  <si>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</si>
  <si>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</si>
  <si>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</si>
  <si>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</si>
  <si>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</si>
  <si>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</si>
  <si>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</si>
  <si>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</si>
  <si>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</si>
  <si>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</si>
  <si>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</si>
  <si>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</si>
  <si>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</si>
  <si>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</si>
  <si>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</si>
  <si>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</si>
  <si>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</si>
  <si>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</si>
  <si>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</si>
  <si>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</si>
  <si>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</si>
  <si>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</si>
  <si>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</si>
  <si>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</si>
  <si>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</si>
  <si>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</si>
  <si>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</si>
  <si>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</si>
  <si>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</si>
  <si>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</si>
  <si>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</si>
  <si>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</si>
  <si>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</si>
  <si>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</si>
  <si>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</si>
  <si>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</si>
  <si>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</si>
  <si>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</si>
  <si>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</si>
  <si>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Etiquetas de fila</t>
  </si>
  <si>
    <t>Total general</t>
  </si>
  <si>
    <t>Suma de Order_Quantity</t>
  </si>
  <si>
    <t>Valor más alto</t>
  </si>
  <si>
    <t>5 valores más altos</t>
  </si>
  <si>
    <t>6 valores más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</si>
</sst>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1" fillId="0" borderId="0" xfId="0" applyFont="1"/>
    <xf numFmtId="0" fontId="0" fillId="33" borderId="0" xfId="0" applyFill="1"/>
    <xf numFmtId="14" fontId="0" fillId="33" borderId="0" xfId="0" applyNumberFormat="1" applyFill="1" applyAlignment="1">
      <alignment horizontal="left"/>
    </xf>
    <xf numFmtId="0" fontId="16" fillId="34" borderId="10" xfId="0" applyFont="1" applyFill="1" applyBorder="1"/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Hoja2!$E$1</c:f>
              <c:strCache>
                <c:ptCount val="1"/>
                <c:pt idx="0">
                  <c:v>Suma de Order_Quantity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Hoja2!$E$2:$E$25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19</c:v>
                </c:pt>
                <c:pt idx="18">
                  <c:v>43</c:v>
                </c:pt>
                <c:pt idx="19">
                  <c:v>13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00E-BA7B-FEF9F4A28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952912"/>
        <c:axId val="1639043568"/>
      </c:scatterChart>
      <c:valAx>
        <c:axId val="20929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9043568"/>
        <c:crosses val="autoZero"/>
        <c:crossBetween val="midCat"/>
      </c:valAx>
      <c:valAx>
        <c:axId val="163904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95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Hoja2!$E$1</c:f>
              <c:strCache>
                <c:ptCount val="1"/>
                <c:pt idx="0">
                  <c:v>Suma de Order_Quantity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Hoja2!$D$2:$D$25</c:f>
              <c:numCache>
                <c:formatCode>m/d/yyyy</c:formatCode>
                <c:ptCount val="24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</c:numCache>
            </c:numRef>
          </c:xVal>
          <c:yVal>
            <c:numRef>
              <c:f>Hoja2!$E$2:$E$25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19</c:v>
                </c:pt>
                <c:pt idx="18">
                  <c:v>43</c:v>
                </c:pt>
                <c:pt idx="19">
                  <c:v>13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A-47A5-B315-BAE4A965B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22048"/>
        <c:axId val="50685008"/>
      </c:scatterChart>
      <c:valAx>
        <c:axId val="27052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685008"/>
        <c:crosses val="autoZero"/>
        <c:crossBetween val="midCat"/>
      </c:valAx>
      <c:valAx>
        <c:axId val="506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052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611907</xdr:colOff>
      <xdr:row>17</xdr:row>
      <xdr:rowOff>18754</xdr:rowOff>
    </xdr:from>
    <xdr:to>
      <xdr:col>11</xdr:col>
      <xdr:colOff>72637</xdr:colOff>
      <xdr:row>28</xdr:row>
      <xdr:rowOff>174336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907A1F-19E8-6309-2DF7-FDA04BB01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599438</xdr:colOff>
      <xdr:row>0</xdr:row>
      <xdr:rowOff>85434</xdr:rowOff>
    </xdr:from>
    <xdr:to>
      <xdr:col>11</xdr:col>
      <xdr:colOff>81033</xdr:colOff>
      <xdr:row>15</xdr:row>
      <xdr:rowOff>104823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319895-7182-D1D1-C02B-662632FD0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947482754629" createdVersion="8" refreshedVersion="8" minRefreshableVersion="3" recordCount="88" xr:uid="{46F1B598-5527-45BF-8EE6-4E0595A6B137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 count="1">
        <s v="December"/>
      </sharedItems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11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13926"/>
    </cacheField>
    <cacheField name="Revenue" numFmtId="164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x v="0"/>
    <n v="2021"/>
    <n v="39"/>
    <x v="0"/>
    <x v="0"/>
    <x v="0"/>
    <x v="0"/>
    <x v="0"/>
    <x v="0"/>
    <x v="0"/>
    <n v="4"/>
    <n v="1252"/>
    <n v="2295"/>
    <n v="4172"/>
    <n v="5008"/>
    <n v="9180"/>
  </r>
  <r>
    <s v="000261695"/>
    <x v="0"/>
    <n v="1"/>
    <x v="0"/>
    <n v="2021"/>
    <n v="44"/>
    <x v="0"/>
    <x v="1"/>
    <x v="1"/>
    <x v="1"/>
    <x v="0"/>
    <x v="0"/>
    <x v="1"/>
    <n v="1"/>
    <n v="1266"/>
    <n v="2320"/>
    <n v="1054"/>
    <n v="1266"/>
    <n v="2320"/>
  </r>
  <r>
    <s v="000261697"/>
    <x v="1"/>
    <n v="2"/>
    <x v="0"/>
    <n v="2021"/>
    <n v="37"/>
    <x v="0"/>
    <x v="1"/>
    <x v="0"/>
    <x v="0"/>
    <x v="0"/>
    <x v="0"/>
    <x v="2"/>
    <n v="2"/>
    <n v="420"/>
    <n v="769"/>
    <n v="698"/>
    <n v="840"/>
    <n v="1538"/>
  </r>
  <r>
    <s v="000261698"/>
    <x v="1"/>
    <n v="2"/>
    <x v="0"/>
    <n v="2021"/>
    <n v="31"/>
    <x v="1"/>
    <x v="0"/>
    <x v="2"/>
    <x v="2"/>
    <x v="0"/>
    <x v="0"/>
    <x v="3"/>
    <n v="1"/>
    <n v="420"/>
    <n v="769"/>
    <n v="349"/>
    <n v="420"/>
    <n v="769"/>
  </r>
  <r>
    <s v="000261699"/>
    <x v="2"/>
    <n v="3"/>
    <x v="0"/>
    <n v="2021"/>
    <n v="37"/>
    <x v="0"/>
    <x v="0"/>
    <x v="0"/>
    <x v="0"/>
    <x v="0"/>
    <x v="0"/>
    <x v="0"/>
    <n v="2"/>
    <n v="1252"/>
    <n v="2295"/>
    <n v="2086"/>
    <n v="2504"/>
    <n v="4590"/>
  </r>
  <r>
    <s v="000261700"/>
    <x v="2"/>
    <n v="3"/>
    <x v="0"/>
    <n v="2021"/>
    <n v="24"/>
    <x v="2"/>
    <x v="0"/>
    <x v="1"/>
    <x v="1"/>
    <x v="0"/>
    <x v="0"/>
    <x v="4"/>
    <n v="1"/>
    <n v="1252"/>
    <n v="2295"/>
    <n v="1043"/>
    <n v="1252"/>
    <n v="2295"/>
  </r>
  <r>
    <s v="000261701"/>
    <x v="2"/>
    <n v="3"/>
    <x v="0"/>
    <n v="2021"/>
    <n v="37"/>
    <x v="0"/>
    <x v="1"/>
    <x v="0"/>
    <x v="3"/>
    <x v="0"/>
    <x v="0"/>
    <x v="0"/>
    <n v="1"/>
    <n v="1252"/>
    <n v="2295"/>
    <n v="1043"/>
    <n v="1252"/>
    <n v="2295"/>
  </r>
  <r>
    <s v="000261702"/>
    <x v="3"/>
    <n v="4"/>
    <x v="0"/>
    <n v="2021"/>
    <n v="31"/>
    <x v="1"/>
    <x v="0"/>
    <x v="2"/>
    <x v="2"/>
    <x v="0"/>
    <x v="0"/>
    <x v="3"/>
    <n v="4"/>
    <n v="420"/>
    <n v="769"/>
    <n v="1396"/>
    <n v="1680"/>
    <n v="3076"/>
  </r>
  <r>
    <s v="000261703"/>
    <x v="4"/>
    <n v="5"/>
    <x v="0"/>
    <n v="2021"/>
    <n v="39"/>
    <x v="0"/>
    <x v="0"/>
    <x v="0"/>
    <x v="0"/>
    <x v="0"/>
    <x v="0"/>
    <x v="0"/>
    <n v="4"/>
    <n v="1252"/>
    <n v="2295"/>
    <n v="4172"/>
    <n v="5008"/>
    <n v="9180"/>
  </r>
  <r>
    <s v="000261704"/>
    <x v="4"/>
    <n v="5"/>
    <x v="0"/>
    <n v="2021"/>
    <n v="42"/>
    <x v="0"/>
    <x v="1"/>
    <x v="3"/>
    <x v="4"/>
    <x v="0"/>
    <x v="0"/>
    <x v="4"/>
    <n v="4"/>
    <n v="1252"/>
    <n v="2295"/>
    <n v="4172"/>
    <n v="5008"/>
    <n v="9180"/>
  </r>
  <r>
    <s v="000261705"/>
    <x v="4"/>
    <n v="5"/>
    <x v="0"/>
    <n v="2021"/>
    <n v="35"/>
    <x v="0"/>
    <x v="0"/>
    <x v="2"/>
    <x v="5"/>
    <x v="0"/>
    <x v="0"/>
    <x v="5"/>
    <n v="1"/>
    <n v="1266"/>
    <n v="2320"/>
    <n v="1054"/>
    <n v="1266"/>
    <n v="2320"/>
  </r>
  <r>
    <s v="000261706"/>
    <x v="4"/>
    <n v="5"/>
    <x v="0"/>
    <n v="2021"/>
    <n v="37"/>
    <x v="0"/>
    <x v="0"/>
    <x v="0"/>
    <x v="0"/>
    <x v="0"/>
    <x v="0"/>
    <x v="0"/>
    <n v="1"/>
    <n v="1252"/>
    <n v="2295"/>
    <n v="1043"/>
    <n v="1252"/>
    <n v="2295"/>
  </r>
  <r>
    <s v="000261707"/>
    <x v="5"/>
    <n v="6"/>
    <x v="0"/>
    <n v="2021"/>
    <n v="23"/>
    <x v="2"/>
    <x v="1"/>
    <x v="1"/>
    <x v="1"/>
    <x v="0"/>
    <x v="0"/>
    <x v="2"/>
    <n v="3"/>
    <n v="420"/>
    <n v="769"/>
    <n v="1047"/>
    <n v="1260"/>
    <n v="2307"/>
  </r>
  <r>
    <s v="000261708"/>
    <x v="5"/>
    <n v="6"/>
    <x v="0"/>
    <n v="2021"/>
    <n v="27"/>
    <x v="1"/>
    <x v="1"/>
    <x v="4"/>
    <x v="6"/>
    <x v="0"/>
    <x v="0"/>
    <x v="0"/>
    <n v="1"/>
    <n v="1252"/>
    <n v="2295"/>
    <n v="1043"/>
    <n v="1252"/>
    <n v="2295"/>
  </r>
  <r>
    <s v="000261709"/>
    <x v="5"/>
    <n v="6"/>
    <x v="0"/>
    <n v="2021"/>
    <n v="36"/>
    <x v="0"/>
    <x v="1"/>
    <x v="2"/>
    <x v="2"/>
    <x v="0"/>
    <x v="0"/>
    <x v="6"/>
    <n v="1"/>
    <n v="1252"/>
    <n v="2295"/>
    <n v="1043"/>
    <n v="1252"/>
    <n v="2295"/>
  </r>
  <r>
    <s v="000261710"/>
    <x v="5"/>
    <n v="6"/>
    <x v="0"/>
    <n v="2021"/>
    <n v="47"/>
    <x v="0"/>
    <x v="1"/>
    <x v="1"/>
    <x v="1"/>
    <x v="0"/>
    <x v="0"/>
    <x v="5"/>
    <n v="1"/>
    <n v="1266"/>
    <n v="2320"/>
    <n v="1054"/>
    <n v="1266"/>
    <n v="2320"/>
  </r>
  <r>
    <s v="000261711"/>
    <x v="6"/>
    <n v="7"/>
    <x v="0"/>
    <n v="2021"/>
    <n v="30"/>
    <x v="1"/>
    <x v="1"/>
    <x v="0"/>
    <x v="0"/>
    <x v="0"/>
    <x v="0"/>
    <x v="7"/>
    <n v="4"/>
    <n v="420"/>
    <n v="769"/>
    <n v="1396"/>
    <n v="1680"/>
    <n v="3076"/>
  </r>
  <r>
    <s v="000261712"/>
    <x v="6"/>
    <n v="7"/>
    <x v="0"/>
    <n v="2021"/>
    <n v="38"/>
    <x v="0"/>
    <x v="1"/>
    <x v="0"/>
    <x v="0"/>
    <x v="0"/>
    <x v="0"/>
    <x v="1"/>
    <n v="2"/>
    <n v="1266"/>
    <n v="2320"/>
    <n v="2108"/>
    <n v="2532"/>
    <n v="4640"/>
  </r>
  <r>
    <s v="000261713"/>
    <x v="7"/>
    <n v="8"/>
    <x v="0"/>
    <n v="2021"/>
    <n v="19"/>
    <x v="2"/>
    <x v="0"/>
    <x v="2"/>
    <x v="2"/>
    <x v="0"/>
    <x v="0"/>
    <x v="8"/>
    <n v="4"/>
    <n v="308"/>
    <n v="565"/>
    <n v="1028"/>
    <n v="1232"/>
    <n v="2260"/>
  </r>
  <r>
    <s v="000261714"/>
    <x v="7"/>
    <n v="8"/>
    <x v="0"/>
    <n v="2021"/>
    <n v="30"/>
    <x v="1"/>
    <x v="0"/>
    <x v="4"/>
    <x v="6"/>
    <x v="0"/>
    <x v="0"/>
    <x v="5"/>
    <n v="4"/>
    <n v="1266"/>
    <n v="2320"/>
    <n v="4216"/>
    <n v="5064"/>
    <n v="9280"/>
  </r>
  <r>
    <s v="000261715"/>
    <x v="7"/>
    <n v="8"/>
    <x v="0"/>
    <n v="2021"/>
    <n v="39"/>
    <x v="0"/>
    <x v="0"/>
    <x v="0"/>
    <x v="7"/>
    <x v="0"/>
    <x v="0"/>
    <x v="9"/>
    <n v="2"/>
    <n v="1252"/>
    <n v="2295"/>
    <n v="2086"/>
    <n v="2504"/>
    <n v="4590"/>
  </r>
  <r>
    <s v="000261716"/>
    <x v="7"/>
    <n v="8"/>
    <x v="0"/>
    <n v="2021"/>
    <n v="35"/>
    <x v="0"/>
    <x v="0"/>
    <x v="0"/>
    <x v="0"/>
    <x v="0"/>
    <x v="0"/>
    <x v="9"/>
    <n v="1"/>
    <n v="295"/>
    <n v="540"/>
    <n v="245"/>
    <n v="295"/>
    <n v="540"/>
  </r>
  <r>
    <s v="000261717"/>
    <x v="8"/>
    <n v="9"/>
    <x v="0"/>
    <n v="2021"/>
    <n v="33"/>
    <x v="1"/>
    <x v="0"/>
    <x v="2"/>
    <x v="8"/>
    <x v="0"/>
    <x v="0"/>
    <x v="10"/>
    <n v="2"/>
    <n v="1898"/>
    <n v="3375"/>
    <n v="2954"/>
    <n v="3796"/>
    <n v="6750"/>
  </r>
  <r>
    <s v="000261718"/>
    <x v="8"/>
    <n v="9"/>
    <x v="0"/>
    <n v="2021"/>
    <n v="41"/>
    <x v="0"/>
    <x v="0"/>
    <x v="3"/>
    <x v="9"/>
    <x v="0"/>
    <x v="0"/>
    <x v="1"/>
    <n v="1"/>
    <n v="1266"/>
    <n v="2320"/>
    <n v="1054"/>
    <n v="1266"/>
    <n v="2320"/>
  </r>
  <r>
    <s v="000261719"/>
    <x v="9"/>
    <n v="10"/>
    <x v="0"/>
    <n v="2021"/>
    <n v="34"/>
    <x v="1"/>
    <x v="0"/>
    <x v="0"/>
    <x v="0"/>
    <x v="0"/>
    <x v="0"/>
    <x v="6"/>
    <n v="2"/>
    <n v="1252"/>
    <n v="2295"/>
    <n v="2086"/>
    <n v="2504"/>
    <n v="4590"/>
  </r>
  <r>
    <s v="000261720"/>
    <x v="9"/>
    <n v="10"/>
    <x v="0"/>
    <n v="2021"/>
    <n v="40"/>
    <x v="0"/>
    <x v="1"/>
    <x v="2"/>
    <x v="2"/>
    <x v="0"/>
    <x v="0"/>
    <x v="6"/>
    <n v="2"/>
    <n v="1252"/>
    <n v="2295"/>
    <n v="2086"/>
    <n v="2504"/>
    <n v="4590"/>
  </r>
  <r>
    <s v="000261721"/>
    <x v="9"/>
    <n v="10"/>
    <x v="0"/>
    <n v="2021"/>
    <n v="26"/>
    <x v="1"/>
    <x v="1"/>
    <x v="1"/>
    <x v="1"/>
    <x v="0"/>
    <x v="0"/>
    <x v="4"/>
    <n v="1"/>
    <n v="1252"/>
    <n v="2295"/>
    <n v="1043"/>
    <n v="1252"/>
    <n v="2295"/>
  </r>
  <r>
    <s v="000261722"/>
    <x v="9"/>
    <n v="10"/>
    <x v="0"/>
    <n v="2021"/>
    <n v="34"/>
    <x v="1"/>
    <x v="1"/>
    <x v="0"/>
    <x v="0"/>
    <x v="0"/>
    <x v="0"/>
    <x v="11"/>
    <n v="1"/>
    <n v="295"/>
    <n v="540"/>
    <n v="245"/>
    <n v="295"/>
    <n v="540"/>
  </r>
  <r>
    <s v="000261723"/>
    <x v="9"/>
    <n v="10"/>
    <x v="0"/>
    <n v="2021"/>
    <n v="34"/>
    <x v="1"/>
    <x v="0"/>
    <x v="0"/>
    <x v="3"/>
    <x v="0"/>
    <x v="0"/>
    <x v="12"/>
    <n v="1"/>
    <n v="1912"/>
    <n v="3400"/>
    <n v="1488"/>
    <n v="1912"/>
    <n v="3400"/>
  </r>
  <r>
    <s v="000261724"/>
    <x v="9"/>
    <n v="10"/>
    <x v="0"/>
    <n v="2021"/>
    <n v="38"/>
    <x v="0"/>
    <x v="1"/>
    <x v="2"/>
    <x v="2"/>
    <x v="0"/>
    <x v="0"/>
    <x v="4"/>
    <n v="1"/>
    <n v="1252"/>
    <n v="2295"/>
    <n v="1043"/>
    <n v="1252"/>
    <n v="2295"/>
  </r>
  <r>
    <s v="000261725"/>
    <x v="10"/>
    <n v="11"/>
    <x v="0"/>
    <n v="2021"/>
    <n v="24"/>
    <x v="2"/>
    <x v="0"/>
    <x v="5"/>
    <x v="10"/>
    <x v="0"/>
    <x v="0"/>
    <x v="4"/>
    <n v="3"/>
    <n v="1252"/>
    <n v="2295"/>
    <n v="3129"/>
    <n v="3756"/>
    <n v="6885"/>
  </r>
  <r>
    <s v="000261726"/>
    <x v="10"/>
    <n v="11"/>
    <x v="0"/>
    <n v="2021"/>
    <n v="41"/>
    <x v="0"/>
    <x v="0"/>
    <x v="2"/>
    <x v="2"/>
    <x v="0"/>
    <x v="0"/>
    <x v="7"/>
    <n v="2"/>
    <n v="420"/>
    <n v="769"/>
    <n v="698"/>
    <n v="840"/>
    <n v="1538"/>
  </r>
  <r>
    <s v="000261727"/>
    <x v="10"/>
    <n v="11"/>
    <x v="0"/>
    <n v="2021"/>
    <n v="27"/>
    <x v="1"/>
    <x v="1"/>
    <x v="4"/>
    <x v="6"/>
    <x v="0"/>
    <x v="0"/>
    <x v="0"/>
    <n v="1"/>
    <n v="1252"/>
    <n v="2295"/>
    <n v="1043"/>
    <n v="1252"/>
    <n v="2295"/>
  </r>
  <r>
    <s v="000261728"/>
    <x v="10"/>
    <n v="11"/>
    <x v="0"/>
    <n v="2021"/>
    <n v="37"/>
    <x v="0"/>
    <x v="1"/>
    <x v="0"/>
    <x v="0"/>
    <x v="0"/>
    <x v="0"/>
    <x v="2"/>
    <n v="1"/>
    <n v="420"/>
    <n v="769"/>
    <n v="349"/>
    <n v="420"/>
    <n v="769"/>
  </r>
  <r>
    <s v="000261729"/>
    <x v="10"/>
    <n v="11"/>
    <x v="0"/>
    <n v="2021"/>
    <n v="38"/>
    <x v="0"/>
    <x v="0"/>
    <x v="0"/>
    <x v="0"/>
    <x v="0"/>
    <x v="0"/>
    <x v="5"/>
    <n v="1"/>
    <n v="1266"/>
    <n v="2320"/>
    <n v="1054"/>
    <n v="1266"/>
    <n v="2320"/>
  </r>
  <r>
    <s v="000261730"/>
    <x v="11"/>
    <n v="12"/>
    <x v="0"/>
    <n v="2021"/>
    <n v="36"/>
    <x v="0"/>
    <x v="0"/>
    <x v="2"/>
    <x v="2"/>
    <x v="0"/>
    <x v="0"/>
    <x v="1"/>
    <n v="4"/>
    <n v="1266"/>
    <n v="2320"/>
    <n v="4216"/>
    <n v="5064"/>
    <n v="9280"/>
  </r>
  <r>
    <s v="000261731"/>
    <x v="11"/>
    <n v="12"/>
    <x v="0"/>
    <n v="2021"/>
    <n v="37"/>
    <x v="0"/>
    <x v="1"/>
    <x v="0"/>
    <x v="0"/>
    <x v="0"/>
    <x v="0"/>
    <x v="2"/>
    <n v="4"/>
    <n v="420"/>
    <n v="769"/>
    <n v="1396"/>
    <n v="1680"/>
    <n v="3076"/>
  </r>
  <r>
    <s v="000261732"/>
    <x v="11"/>
    <n v="12"/>
    <x v="0"/>
    <n v="2021"/>
    <n v="34"/>
    <x v="1"/>
    <x v="1"/>
    <x v="2"/>
    <x v="2"/>
    <x v="0"/>
    <x v="0"/>
    <x v="4"/>
    <n v="2"/>
    <n v="1252"/>
    <n v="2295"/>
    <n v="2086"/>
    <n v="2504"/>
    <n v="4590"/>
  </r>
  <r>
    <s v="000261733"/>
    <x v="11"/>
    <n v="12"/>
    <x v="0"/>
    <n v="2021"/>
    <n v="35"/>
    <x v="0"/>
    <x v="0"/>
    <x v="2"/>
    <x v="8"/>
    <x v="0"/>
    <x v="0"/>
    <x v="1"/>
    <n v="1"/>
    <n v="1266"/>
    <n v="2320"/>
    <n v="1054"/>
    <n v="1266"/>
    <n v="2320"/>
  </r>
  <r>
    <s v="000261734"/>
    <x v="11"/>
    <n v="12"/>
    <x v="0"/>
    <n v="2021"/>
    <n v="38"/>
    <x v="0"/>
    <x v="0"/>
    <x v="0"/>
    <x v="3"/>
    <x v="0"/>
    <x v="0"/>
    <x v="1"/>
    <n v="1"/>
    <n v="1266"/>
    <n v="2320"/>
    <n v="1054"/>
    <n v="1266"/>
    <n v="2320"/>
  </r>
  <r>
    <s v="000261735"/>
    <x v="12"/>
    <n v="13"/>
    <x v="0"/>
    <n v="2021"/>
    <n v="32"/>
    <x v="1"/>
    <x v="0"/>
    <x v="2"/>
    <x v="5"/>
    <x v="0"/>
    <x v="0"/>
    <x v="1"/>
    <n v="3"/>
    <n v="1266"/>
    <n v="2320"/>
    <n v="3162"/>
    <n v="3798"/>
    <n v="6960"/>
  </r>
  <r>
    <s v="000261736"/>
    <x v="12"/>
    <n v="13"/>
    <x v="0"/>
    <n v="2021"/>
    <n v="40"/>
    <x v="0"/>
    <x v="0"/>
    <x v="0"/>
    <x v="0"/>
    <x v="0"/>
    <x v="0"/>
    <x v="13"/>
    <n v="1"/>
    <n v="308"/>
    <n v="565"/>
    <n v="257"/>
    <n v="308"/>
    <n v="565"/>
  </r>
  <r>
    <s v="000261737"/>
    <x v="12"/>
    <n v="13"/>
    <x v="0"/>
    <n v="2021"/>
    <n v="44"/>
    <x v="0"/>
    <x v="0"/>
    <x v="1"/>
    <x v="1"/>
    <x v="0"/>
    <x v="0"/>
    <x v="4"/>
    <n v="1"/>
    <n v="1252"/>
    <n v="2295"/>
    <n v="1043"/>
    <n v="1252"/>
    <n v="2295"/>
  </r>
  <r>
    <s v="000261738"/>
    <x v="12"/>
    <n v="13"/>
    <x v="0"/>
    <n v="2021"/>
    <n v="49"/>
    <x v="0"/>
    <x v="1"/>
    <x v="1"/>
    <x v="1"/>
    <x v="0"/>
    <x v="0"/>
    <x v="4"/>
    <n v="1"/>
    <n v="1252"/>
    <n v="2295"/>
    <n v="1043"/>
    <n v="1252"/>
    <n v="2295"/>
  </r>
  <r>
    <s v="000261739"/>
    <x v="13"/>
    <n v="14"/>
    <x v="0"/>
    <n v="2021"/>
    <n v="30"/>
    <x v="1"/>
    <x v="0"/>
    <x v="0"/>
    <x v="3"/>
    <x v="0"/>
    <x v="0"/>
    <x v="5"/>
    <n v="2"/>
    <n v="1266"/>
    <n v="2320"/>
    <n v="2108"/>
    <n v="2532"/>
    <n v="4640"/>
  </r>
  <r>
    <s v="000261740"/>
    <x v="13"/>
    <n v="14"/>
    <x v="0"/>
    <n v="2021"/>
    <n v="32"/>
    <x v="1"/>
    <x v="1"/>
    <x v="0"/>
    <x v="0"/>
    <x v="0"/>
    <x v="0"/>
    <x v="0"/>
    <n v="1"/>
    <n v="1252"/>
    <n v="2295"/>
    <n v="1043"/>
    <n v="1252"/>
    <n v="2295"/>
  </r>
  <r>
    <s v="000261741"/>
    <x v="13"/>
    <n v="14"/>
    <x v="0"/>
    <n v="2021"/>
    <n v="32"/>
    <x v="1"/>
    <x v="0"/>
    <x v="2"/>
    <x v="8"/>
    <x v="0"/>
    <x v="0"/>
    <x v="2"/>
    <n v="1"/>
    <n v="420"/>
    <n v="769"/>
    <n v="349"/>
    <n v="420"/>
    <n v="769"/>
  </r>
  <r>
    <s v="000261742"/>
    <x v="14"/>
    <n v="15"/>
    <x v="0"/>
    <n v="2021"/>
    <n v="29"/>
    <x v="1"/>
    <x v="0"/>
    <x v="0"/>
    <x v="0"/>
    <x v="0"/>
    <x v="0"/>
    <x v="1"/>
    <n v="1"/>
    <n v="1266"/>
    <n v="2320"/>
    <n v="1054"/>
    <n v="1266"/>
    <n v="2320"/>
  </r>
  <r>
    <s v="000261743"/>
    <x v="15"/>
    <n v="16"/>
    <x v="0"/>
    <n v="2021"/>
    <n v="33"/>
    <x v="1"/>
    <x v="0"/>
    <x v="2"/>
    <x v="2"/>
    <x v="0"/>
    <x v="0"/>
    <x v="4"/>
    <n v="2"/>
    <n v="1252"/>
    <n v="2295"/>
    <n v="2086"/>
    <n v="2504"/>
    <n v="4590"/>
  </r>
  <r>
    <s v="000261744"/>
    <x v="15"/>
    <n v="16"/>
    <x v="0"/>
    <n v="2021"/>
    <n v="38"/>
    <x v="0"/>
    <x v="1"/>
    <x v="2"/>
    <x v="2"/>
    <x v="0"/>
    <x v="0"/>
    <x v="4"/>
    <n v="2"/>
    <n v="1252"/>
    <n v="2295"/>
    <n v="2086"/>
    <n v="2504"/>
    <n v="4590"/>
  </r>
  <r>
    <s v="000261745"/>
    <x v="15"/>
    <n v="16"/>
    <x v="0"/>
    <n v="2021"/>
    <n v="27"/>
    <x v="1"/>
    <x v="0"/>
    <x v="5"/>
    <x v="11"/>
    <x v="0"/>
    <x v="0"/>
    <x v="14"/>
    <n v="1"/>
    <n v="1266"/>
    <n v="2320"/>
    <n v="1054"/>
    <n v="1266"/>
    <n v="2320"/>
  </r>
  <r>
    <s v="000261746"/>
    <x v="16"/>
    <n v="17"/>
    <x v="0"/>
    <n v="2021"/>
    <n v="37"/>
    <x v="0"/>
    <x v="0"/>
    <x v="0"/>
    <x v="3"/>
    <x v="0"/>
    <x v="0"/>
    <x v="5"/>
    <n v="2"/>
    <n v="1266"/>
    <n v="2320"/>
    <n v="2108"/>
    <n v="2532"/>
    <n v="4640"/>
  </r>
  <r>
    <s v="000261747"/>
    <x v="16"/>
    <n v="17"/>
    <x v="0"/>
    <n v="2021"/>
    <n v="31"/>
    <x v="1"/>
    <x v="1"/>
    <x v="2"/>
    <x v="2"/>
    <x v="0"/>
    <x v="0"/>
    <x v="3"/>
    <n v="1"/>
    <n v="420"/>
    <n v="769"/>
    <n v="349"/>
    <n v="420"/>
    <n v="769"/>
  </r>
  <r>
    <s v="000261748"/>
    <x v="16"/>
    <n v="17"/>
    <x v="0"/>
    <n v="2021"/>
    <n v="42"/>
    <x v="0"/>
    <x v="0"/>
    <x v="3"/>
    <x v="4"/>
    <x v="0"/>
    <x v="0"/>
    <x v="14"/>
    <n v="1"/>
    <n v="1266"/>
    <n v="2320"/>
    <n v="1054"/>
    <n v="1266"/>
    <n v="2320"/>
  </r>
  <r>
    <s v="000261749"/>
    <x v="17"/>
    <n v="18"/>
    <x v="0"/>
    <n v="2021"/>
    <n v="35"/>
    <x v="0"/>
    <x v="0"/>
    <x v="2"/>
    <x v="2"/>
    <x v="0"/>
    <x v="0"/>
    <x v="8"/>
    <n v="4"/>
    <n v="308"/>
    <n v="565"/>
    <n v="1028"/>
    <n v="1232"/>
    <n v="2260"/>
  </r>
  <r>
    <s v="000261750"/>
    <x v="17"/>
    <n v="18"/>
    <x v="0"/>
    <n v="2021"/>
    <n v="38"/>
    <x v="0"/>
    <x v="0"/>
    <x v="3"/>
    <x v="4"/>
    <x v="0"/>
    <x v="0"/>
    <x v="14"/>
    <n v="4"/>
    <n v="1266"/>
    <n v="2320"/>
    <n v="4216"/>
    <n v="5064"/>
    <n v="9280"/>
  </r>
  <r>
    <s v="000261751"/>
    <x v="17"/>
    <n v="18"/>
    <x v="0"/>
    <n v="2021"/>
    <n v="24"/>
    <x v="2"/>
    <x v="0"/>
    <x v="5"/>
    <x v="12"/>
    <x v="0"/>
    <x v="0"/>
    <x v="5"/>
    <n v="3"/>
    <n v="1266"/>
    <n v="2320"/>
    <n v="3162"/>
    <n v="3798"/>
    <n v="6960"/>
  </r>
  <r>
    <s v="000261752"/>
    <x v="17"/>
    <n v="18"/>
    <x v="0"/>
    <n v="2021"/>
    <n v="26"/>
    <x v="1"/>
    <x v="0"/>
    <x v="1"/>
    <x v="1"/>
    <x v="0"/>
    <x v="0"/>
    <x v="3"/>
    <n v="3"/>
    <n v="420"/>
    <n v="769"/>
    <n v="1047"/>
    <n v="1260"/>
    <n v="2307"/>
  </r>
  <r>
    <s v="000261753"/>
    <x v="17"/>
    <n v="18"/>
    <x v="0"/>
    <n v="2021"/>
    <n v="39"/>
    <x v="0"/>
    <x v="1"/>
    <x v="0"/>
    <x v="0"/>
    <x v="0"/>
    <x v="0"/>
    <x v="6"/>
    <n v="3"/>
    <n v="1252"/>
    <n v="2295"/>
    <n v="3129"/>
    <n v="3756"/>
    <n v="6885"/>
  </r>
  <r>
    <s v="000261754"/>
    <x v="17"/>
    <n v="18"/>
    <x v="0"/>
    <n v="2021"/>
    <n v="26"/>
    <x v="1"/>
    <x v="1"/>
    <x v="5"/>
    <x v="10"/>
    <x v="0"/>
    <x v="0"/>
    <x v="0"/>
    <n v="1"/>
    <n v="1252"/>
    <n v="2295"/>
    <n v="1043"/>
    <n v="1252"/>
    <n v="2295"/>
  </r>
  <r>
    <s v="000261755"/>
    <x v="17"/>
    <n v="18"/>
    <x v="0"/>
    <n v="2021"/>
    <n v="36"/>
    <x v="0"/>
    <x v="1"/>
    <x v="0"/>
    <x v="3"/>
    <x v="0"/>
    <x v="0"/>
    <x v="5"/>
    <n v="1"/>
    <n v="1266"/>
    <n v="2320"/>
    <n v="1054"/>
    <n v="1266"/>
    <n v="2320"/>
  </r>
  <r>
    <s v="000261756"/>
    <x v="18"/>
    <n v="19"/>
    <x v="0"/>
    <n v="2021"/>
    <n v="17"/>
    <x v="2"/>
    <x v="1"/>
    <x v="5"/>
    <x v="13"/>
    <x v="0"/>
    <x v="0"/>
    <x v="14"/>
    <n v="4"/>
    <n v="1266"/>
    <n v="2320"/>
    <n v="4216"/>
    <n v="5064"/>
    <n v="9280"/>
  </r>
  <r>
    <s v="000261757"/>
    <x v="18"/>
    <n v="19"/>
    <x v="0"/>
    <n v="2021"/>
    <n v="19"/>
    <x v="2"/>
    <x v="0"/>
    <x v="2"/>
    <x v="8"/>
    <x v="0"/>
    <x v="0"/>
    <x v="15"/>
    <n v="4"/>
    <n v="295"/>
    <n v="540"/>
    <n v="980"/>
    <n v="1180"/>
    <n v="2160"/>
  </r>
  <r>
    <s v="000261758"/>
    <x v="18"/>
    <n v="19"/>
    <x v="0"/>
    <n v="2021"/>
    <n v="25"/>
    <x v="1"/>
    <x v="1"/>
    <x v="5"/>
    <x v="10"/>
    <x v="0"/>
    <x v="0"/>
    <x v="4"/>
    <n v="4"/>
    <n v="1252"/>
    <n v="2295"/>
    <n v="4172"/>
    <n v="5008"/>
    <n v="9180"/>
  </r>
  <r>
    <s v="000261759"/>
    <x v="18"/>
    <n v="19"/>
    <x v="0"/>
    <n v="2021"/>
    <n v="35"/>
    <x v="0"/>
    <x v="0"/>
    <x v="0"/>
    <x v="7"/>
    <x v="0"/>
    <x v="0"/>
    <x v="16"/>
    <n v="4"/>
    <n v="1898"/>
    <n v="3375"/>
    <n v="5908"/>
    <n v="7592"/>
    <n v="13500"/>
  </r>
  <r>
    <s v="000261760"/>
    <x v="18"/>
    <n v="19"/>
    <x v="0"/>
    <n v="2021"/>
    <n v="37"/>
    <x v="0"/>
    <x v="1"/>
    <x v="0"/>
    <x v="7"/>
    <x v="0"/>
    <x v="0"/>
    <x v="4"/>
    <n v="4"/>
    <n v="1252"/>
    <n v="2295"/>
    <n v="4172"/>
    <n v="5008"/>
    <n v="9180"/>
  </r>
  <r>
    <s v="000261761"/>
    <x v="18"/>
    <n v="19"/>
    <x v="0"/>
    <n v="2021"/>
    <n v="39"/>
    <x v="0"/>
    <x v="0"/>
    <x v="0"/>
    <x v="0"/>
    <x v="0"/>
    <x v="0"/>
    <x v="0"/>
    <n v="4"/>
    <n v="1252"/>
    <n v="2295"/>
    <n v="4172"/>
    <n v="5008"/>
    <n v="9180"/>
  </r>
  <r>
    <s v="000261762"/>
    <x v="18"/>
    <n v="19"/>
    <x v="0"/>
    <n v="2021"/>
    <n v="63"/>
    <x v="0"/>
    <x v="0"/>
    <x v="2"/>
    <x v="5"/>
    <x v="0"/>
    <x v="0"/>
    <x v="0"/>
    <n v="4"/>
    <n v="1252"/>
    <n v="2295"/>
    <n v="4172"/>
    <n v="5008"/>
    <n v="9180"/>
  </r>
  <r>
    <s v="000261763"/>
    <x v="18"/>
    <n v="19"/>
    <x v="0"/>
    <n v="2021"/>
    <n v="18"/>
    <x v="2"/>
    <x v="1"/>
    <x v="2"/>
    <x v="14"/>
    <x v="0"/>
    <x v="0"/>
    <x v="11"/>
    <n v="2"/>
    <n v="295"/>
    <n v="540"/>
    <n v="490"/>
    <n v="590"/>
    <n v="1080"/>
  </r>
  <r>
    <s v="000261764"/>
    <x v="18"/>
    <n v="19"/>
    <x v="0"/>
    <n v="2021"/>
    <n v="56"/>
    <x v="0"/>
    <x v="0"/>
    <x v="3"/>
    <x v="15"/>
    <x v="0"/>
    <x v="0"/>
    <x v="0"/>
    <n v="2"/>
    <n v="1252"/>
    <n v="2295"/>
    <n v="2086"/>
    <n v="2504"/>
    <n v="4590"/>
  </r>
  <r>
    <s v="000261765"/>
    <x v="18"/>
    <n v="19"/>
    <x v="0"/>
    <n v="2021"/>
    <n v="39"/>
    <x v="0"/>
    <x v="0"/>
    <x v="0"/>
    <x v="3"/>
    <x v="0"/>
    <x v="0"/>
    <x v="5"/>
    <n v="11"/>
    <n v="1266"/>
    <n v="2320"/>
    <n v="1054"/>
    <n v="13926"/>
    <n v="25520"/>
  </r>
  <r>
    <s v="000261766"/>
    <x v="19"/>
    <n v="20"/>
    <x v="0"/>
    <n v="2021"/>
    <n v="33"/>
    <x v="1"/>
    <x v="0"/>
    <x v="2"/>
    <x v="8"/>
    <x v="0"/>
    <x v="0"/>
    <x v="10"/>
    <n v="4"/>
    <n v="1898"/>
    <n v="3375"/>
    <n v="5908"/>
    <n v="7592"/>
    <n v="13500"/>
  </r>
  <r>
    <s v="000261767"/>
    <x v="19"/>
    <n v="20"/>
    <x v="0"/>
    <n v="2021"/>
    <n v="57"/>
    <x v="0"/>
    <x v="1"/>
    <x v="2"/>
    <x v="5"/>
    <x v="0"/>
    <x v="0"/>
    <x v="0"/>
    <n v="4"/>
    <n v="1252"/>
    <n v="2295"/>
    <n v="4172"/>
    <n v="5008"/>
    <n v="9180"/>
  </r>
  <r>
    <s v="000261768"/>
    <x v="19"/>
    <n v="20"/>
    <x v="0"/>
    <n v="2021"/>
    <n v="29"/>
    <x v="1"/>
    <x v="1"/>
    <x v="4"/>
    <x v="6"/>
    <x v="0"/>
    <x v="0"/>
    <x v="17"/>
    <n v="3"/>
    <n v="295"/>
    <n v="540"/>
    <n v="735"/>
    <n v="885"/>
    <n v="1620"/>
  </r>
  <r>
    <s v="000261769"/>
    <x v="19"/>
    <n v="20"/>
    <x v="0"/>
    <n v="2021"/>
    <n v="35"/>
    <x v="0"/>
    <x v="0"/>
    <x v="2"/>
    <x v="5"/>
    <x v="0"/>
    <x v="0"/>
    <x v="5"/>
    <n v="1"/>
    <n v="1266"/>
    <n v="2320"/>
    <n v="1054"/>
    <n v="1266"/>
    <n v="2320"/>
  </r>
  <r>
    <s v="000261770"/>
    <x v="19"/>
    <n v="20"/>
    <x v="0"/>
    <n v="2021"/>
    <n v="35"/>
    <x v="0"/>
    <x v="1"/>
    <x v="2"/>
    <x v="8"/>
    <x v="0"/>
    <x v="0"/>
    <x v="5"/>
    <n v="1"/>
    <n v="1266"/>
    <n v="2320"/>
    <n v="1054"/>
    <n v="1266"/>
    <n v="2320"/>
  </r>
  <r>
    <s v="000261771"/>
    <x v="20"/>
    <n v="21"/>
    <x v="0"/>
    <n v="2021"/>
    <n v="26"/>
    <x v="1"/>
    <x v="1"/>
    <x v="5"/>
    <x v="16"/>
    <x v="0"/>
    <x v="0"/>
    <x v="5"/>
    <n v="3"/>
    <n v="1266"/>
    <n v="2320"/>
    <n v="3162"/>
    <n v="3798"/>
    <n v="6960"/>
  </r>
  <r>
    <s v="000261772"/>
    <x v="20"/>
    <n v="21"/>
    <x v="0"/>
    <n v="2021"/>
    <n v="23"/>
    <x v="2"/>
    <x v="1"/>
    <x v="1"/>
    <x v="1"/>
    <x v="0"/>
    <x v="0"/>
    <x v="2"/>
    <n v="2"/>
    <n v="420"/>
    <n v="769"/>
    <n v="698"/>
    <n v="840"/>
    <n v="1538"/>
  </r>
  <r>
    <s v="000261773"/>
    <x v="21"/>
    <n v="22"/>
    <x v="0"/>
    <n v="2021"/>
    <n v="30"/>
    <x v="1"/>
    <x v="0"/>
    <x v="0"/>
    <x v="3"/>
    <x v="0"/>
    <x v="0"/>
    <x v="5"/>
    <n v="3"/>
    <n v="1266"/>
    <n v="2320"/>
    <n v="3162"/>
    <n v="3798"/>
    <n v="6960"/>
  </r>
  <r>
    <s v="000261774"/>
    <x v="21"/>
    <n v="22"/>
    <x v="0"/>
    <n v="2021"/>
    <n v="41"/>
    <x v="0"/>
    <x v="1"/>
    <x v="0"/>
    <x v="0"/>
    <x v="0"/>
    <x v="0"/>
    <x v="6"/>
    <n v="3"/>
    <n v="1252"/>
    <n v="2295"/>
    <n v="3129"/>
    <n v="3756"/>
    <n v="6885"/>
  </r>
  <r>
    <s v="000261775"/>
    <x v="21"/>
    <n v="22"/>
    <x v="0"/>
    <n v="2021"/>
    <n v="19"/>
    <x v="2"/>
    <x v="0"/>
    <x v="2"/>
    <x v="2"/>
    <x v="0"/>
    <x v="0"/>
    <x v="8"/>
    <n v="1"/>
    <n v="308"/>
    <n v="565"/>
    <n v="257"/>
    <n v="308"/>
    <n v="565"/>
  </r>
  <r>
    <s v="000261776"/>
    <x v="21"/>
    <n v="22"/>
    <x v="0"/>
    <n v="2021"/>
    <n v="25"/>
    <x v="1"/>
    <x v="1"/>
    <x v="5"/>
    <x v="10"/>
    <x v="0"/>
    <x v="0"/>
    <x v="4"/>
    <n v="1"/>
    <n v="1252"/>
    <n v="2295"/>
    <n v="1043"/>
    <n v="1252"/>
    <n v="2295"/>
  </r>
  <r>
    <s v="000261777"/>
    <x v="21"/>
    <n v="22"/>
    <x v="0"/>
    <n v="2021"/>
    <n v="27"/>
    <x v="1"/>
    <x v="0"/>
    <x v="4"/>
    <x v="6"/>
    <x v="0"/>
    <x v="0"/>
    <x v="0"/>
    <n v="1"/>
    <n v="1252"/>
    <n v="2295"/>
    <n v="1043"/>
    <n v="1252"/>
    <n v="2295"/>
  </r>
  <r>
    <s v="000261778"/>
    <x v="21"/>
    <n v="22"/>
    <x v="0"/>
    <n v="2021"/>
    <n v="41"/>
    <x v="0"/>
    <x v="1"/>
    <x v="3"/>
    <x v="15"/>
    <x v="0"/>
    <x v="0"/>
    <x v="5"/>
    <n v="1"/>
    <n v="1266"/>
    <n v="2320"/>
    <n v="1054"/>
    <n v="1266"/>
    <n v="2320"/>
  </r>
  <r>
    <s v="000261779"/>
    <x v="22"/>
    <n v="23"/>
    <x v="0"/>
    <n v="2021"/>
    <n v="30"/>
    <x v="1"/>
    <x v="0"/>
    <x v="0"/>
    <x v="7"/>
    <x v="0"/>
    <x v="0"/>
    <x v="1"/>
    <n v="1"/>
    <n v="1266"/>
    <n v="2320"/>
    <n v="1054"/>
    <n v="1266"/>
    <n v="2320"/>
  </r>
  <r>
    <s v="000261780"/>
    <x v="22"/>
    <n v="23"/>
    <x v="0"/>
    <n v="2021"/>
    <n v="31"/>
    <x v="1"/>
    <x v="0"/>
    <x v="4"/>
    <x v="6"/>
    <x v="0"/>
    <x v="0"/>
    <x v="6"/>
    <n v="1"/>
    <n v="1252"/>
    <n v="2295"/>
    <n v="1043"/>
    <n v="1252"/>
    <n v="2295"/>
  </r>
  <r>
    <s v="000261781"/>
    <x v="22"/>
    <n v="23"/>
    <x v="0"/>
    <n v="2021"/>
    <n v="35"/>
    <x v="0"/>
    <x v="0"/>
    <x v="0"/>
    <x v="0"/>
    <x v="0"/>
    <x v="0"/>
    <x v="9"/>
    <n v="1"/>
    <n v="295"/>
    <n v="540"/>
    <n v="245"/>
    <n v="295"/>
    <n v="540"/>
  </r>
  <r>
    <s v="000261782"/>
    <x v="23"/>
    <n v="24"/>
    <x v="0"/>
    <n v="2021"/>
    <n v="38"/>
    <x v="0"/>
    <x v="1"/>
    <x v="2"/>
    <x v="5"/>
    <x v="0"/>
    <x v="0"/>
    <x v="6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D3F03-89D5-4DD7-9D52-CAEAF3C22DE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26" firstHeaderRow="1" firstDataRow="1" firstDataCol="1"/>
  <pivotFields count="19">
    <pivotField showAll="0"/>
    <pivotField axis="axisRow" numFmtId="14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">
        <item x="0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18">
        <item x="6"/>
        <item x="0"/>
        <item x="1"/>
        <item x="9"/>
        <item x="15"/>
        <item x="2"/>
        <item x="13"/>
        <item x="4"/>
        <item x="7"/>
        <item x="5"/>
        <item x="10"/>
        <item x="11"/>
        <item x="12"/>
        <item x="16"/>
        <item x="14"/>
        <item x="8"/>
        <item x="3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</pivotField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a de Order_Quantity" fld="13" baseField="0" baseItem="0"/>
  </dataFields>
  <formats count="4"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59B9-C105-46B7-941B-273388CBCCE3}">
  <dimension ref="A1:H34"/>
  <sheetViews>
    <sheetView tabSelected="1" zoomScale="51" zoomScaleNormal="70" workbookViewId="0">
      <selection activeCell="A28" sqref="A28:A29"/>
    </sheetView>
  </sheetViews>
  <sheetFormatPr baseColWidth="10" defaultRowHeight="14.5" x14ac:dyDescent="0.35"/>
  <cols>
    <col min="1" max="1" width="16.54296875" bestFit="1" customWidth="1"/>
    <col min="2" max="2" width="33" customWidth="1"/>
    <col min="3" max="4" width="21.90625" bestFit="1" customWidth="1"/>
    <col min="5" max="5" width="31.36328125" customWidth="1"/>
    <col min="7" max="7" width="18.26953125" customWidth="1"/>
    <col min="8" max="8" width="19.1796875" bestFit="1" customWidth="1"/>
  </cols>
  <sheetData>
    <row r="1" spans="1:8" x14ac:dyDescent="0.35">
      <c r="A1" s="12" t="s">
        <v>156</v>
      </c>
      <c r="B1" s="12" t="s">
        <v>158</v>
      </c>
      <c r="D1" s="14" t="s">
        <v>156</v>
      </c>
      <c r="E1" s="14" t="s">
        <v>158</v>
      </c>
    </row>
    <row r="2" spans="1:8" ht="15.5" x14ac:dyDescent="0.35">
      <c r="A2" s="9">
        <v>44549</v>
      </c>
      <c r="B2">
        <v>43</v>
      </c>
      <c r="D2" s="9">
        <v>44531</v>
      </c>
      <c r="E2">
        <v>5</v>
      </c>
      <c r="H2" s="11"/>
    </row>
    <row r="3" spans="1:8" x14ac:dyDescent="0.35">
      <c r="A3" s="9">
        <v>44548</v>
      </c>
      <c r="B3">
        <v>19</v>
      </c>
      <c r="D3" s="9">
        <v>44532</v>
      </c>
      <c r="E3">
        <v>3</v>
      </c>
    </row>
    <row r="4" spans="1:8" ht="15.5" x14ac:dyDescent="0.35">
      <c r="A4" s="9">
        <v>44550</v>
      </c>
      <c r="B4">
        <v>13</v>
      </c>
      <c r="D4" s="9">
        <v>44533</v>
      </c>
      <c r="E4">
        <v>4</v>
      </c>
      <c r="H4" s="11"/>
    </row>
    <row r="5" spans="1:8" x14ac:dyDescent="0.35">
      <c r="A5" s="9">
        <v>44542</v>
      </c>
      <c r="B5">
        <v>12</v>
      </c>
      <c r="D5" s="9">
        <v>44534</v>
      </c>
      <c r="E5">
        <v>4</v>
      </c>
    </row>
    <row r="6" spans="1:8" x14ac:dyDescent="0.35">
      <c r="A6" s="9">
        <v>44538</v>
      </c>
      <c r="B6">
        <v>11</v>
      </c>
      <c r="D6" s="9">
        <v>44535</v>
      </c>
      <c r="E6">
        <v>10</v>
      </c>
    </row>
    <row r="7" spans="1:8" x14ac:dyDescent="0.35">
      <c r="A7" s="9">
        <v>44535</v>
      </c>
      <c r="B7">
        <v>10</v>
      </c>
      <c r="D7" s="9">
        <v>44536</v>
      </c>
      <c r="E7">
        <v>6</v>
      </c>
    </row>
    <row r="8" spans="1:8" x14ac:dyDescent="0.35">
      <c r="A8" s="9">
        <v>44552</v>
      </c>
      <c r="B8">
        <v>10</v>
      </c>
      <c r="D8" s="9">
        <v>44537</v>
      </c>
      <c r="E8">
        <v>6</v>
      </c>
    </row>
    <row r="9" spans="1:8" x14ac:dyDescent="0.35">
      <c r="A9" s="9">
        <v>44541</v>
      </c>
      <c r="B9">
        <v>8</v>
      </c>
      <c r="D9" s="9">
        <v>44538</v>
      </c>
      <c r="E9">
        <v>11</v>
      </c>
    </row>
    <row r="10" spans="1:8" ht="15.5" x14ac:dyDescent="0.35">
      <c r="A10" s="9">
        <v>44540</v>
      </c>
      <c r="B10">
        <v>8</v>
      </c>
      <c r="D10" s="9">
        <v>44539</v>
      </c>
      <c r="E10">
        <v>3</v>
      </c>
      <c r="H10" s="11"/>
    </row>
    <row r="11" spans="1:8" x14ac:dyDescent="0.35">
      <c r="A11" s="9">
        <v>44537</v>
      </c>
      <c r="B11">
        <v>6</v>
      </c>
      <c r="D11" s="9">
        <v>44540</v>
      </c>
      <c r="E11">
        <v>8</v>
      </c>
    </row>
    <row r="12" spans="1:8" x14ac:dyDescent="0.35">
      <c r="A12" s="9">
        <v>44536</v>
      </c>
      <c r="B12">
        <v>6</v>
      </c>
      <c r="D12" s="9">
        <v>44541</v>
      </c>
      <c r="E12">
        <v>8</v>
      </c>
    </row>
    <row r="13" spans="1:8" x14ac:dyDescent="0.35">
      <c r="A13" s="9">
        <v>44543</v>
      </c>
      <c r="B13">
        <v>6</v>
      </c>
      <c r="D13" s="9">
        <v>44542</v>
      </c>
      <c r="E13">
        <v>12</v>
      </c>
    </row>
    <row r="14" spans="1:8" x14ac:dyDescent="0.35">
      <c r="A14" s="9">
        <v>44551</v>
      </c>
      <c r="B14">
        <v>5</v>
      </c>
      <c r="D14" s="9">
        <v>44543</v>
      </c>
      <c r="E14">
        <v>6</v>
      </c>
    </row>
    <row r="15" spans="1:8" x14ac:dyDescent="0.35">
      <c r="A15" s="9">
        <v>44531</v>
      </c>
      <c r="B15">
        <v>5</v>
      </c>
      <c r="D15" s="9">
        <v>44544</v>
      </c>
      <c r="E15">
        <v>4</v>
      </c>
    </row>
    <row r="16" spans="1:8" x14ac:dyDescent="0.35">
      <c r="A16" s="9">
        <v>44546</v>
      </c>
      <c r="B16">
        <v>5</v>
      </c>
      <c r="D16" s="9">
        <v>44545</v>
      </c>
      <c r="E16">
        <v>1</v>
      </c>
    </row>
    <row r="17" spans="1:5" x14ac:dyDescent="0.35">
      <c r="A17" s="9">
        <v>44534</v>
      </c>
      <c r="B17">
        <v>4</v>
      </c>
      <c r="D17" s="9">
        <v>44546</v>
      </c>
      <c r="E17">
        <v>5</v>
      </c>
    </row>
    <row r="18" spans="1:5" x14ac:dyDescent="0.35">
      <c r="A18" s="9">
        <v>44554</v>
      </c>
      <c r="B18">
        <v>4</v>
      </c>
      <c r="D18" s="9">
        <v>44547</v>
      </c>
      <c r="E18">
        <v>4</v>
      </c>
    </row>
    <row r="19" spans="1:5" x14ac:dyDescent="0.35">
      <c r="A19" s="9">
        <v>44547</v>
      </c>
      <c r="B19">
        <v>4</v>
      </c>
      <c r="D19" s="9">
        <v>44548</v>
      </c>
      <c r="E19">
        <v>19</v>
      </c>
    </row>
    <row r="20" spans="1:5" x14ac:dyDescent="0.35">
      <c r="A20" s="9">
        <v>44533</v>
      </c>
      <c r="B20">
        <v>4</v>
      </c>
      <c r="D20" s="9">
        <v>44549</v>
      </c>
      <c r="E20">
        <v>43</v>
      </c>
    </row>
    <row r="21" spans="1:5" x14ac:dyDescent="0.35">
      <c r="A21" s="9">
        <v>44544</v>
      </c>
      <c r="B21">
        <v>4</v>
      </c>
      <c r="D21" s="9">
        <v>44550</v>
      </c>
      <c r="E21">
        <v>13</v>
      </c>
    </row>
    <row r="22" spans="1:5" x14ac:dyDescent="0.35">
      <c r="A22" s="9">
        <v>44532</v>
      </c>
      <c r="B22">
        <v>3</v>
      </c>
      <c r="D22" s="9">
        <v>44551</v>
      </c>
      <c r="E22">
        <v>5</v>
      </c>
    </row>
    <row r="23" spans="1:5" x14ac:dyDescent="0.35">
      <c r="A23" s="9">
        <v>44553</v>
      </c>
      <c r="B23">
        <v>3</v>
      </c>
      <c r="D23" s="9">
        <v>44552</v>
      </c>
      <c r="E23">
        <v>10</v>
      </c>
    </row>
    <row r="24" spans="1:5" x14ac:dyDescent="0.35">
      <c r="A24" s="9">
        <v>44539</v>
      </c>
      <c r="B24">
        <v>3</v>
      </c>
      <c r="D24" s="9">
        <v>44553</v>
      </c>
      <c r="E24">
        <v>3</v>
      </c>
    </row>
    <row r="25" spans="1:5" x14ac:dyDescent="0.35">
      <c r="A25" s="9">
        <v>44545</v>
      </c>
      <c r="B25">
        <v>1</v>
      </c>
      <c r="D25" s="9">
        <v>44554</v>
      </c>
      <c r="E25">
        <v>4</v>
      </c>
    </row>
    <row r="26" spans="1:5" x14ac:dyDescent="0.35">
      <c r="A26" s="13" t="s">
        <v>157</v>
      </c>
      <c r="B26" s="12">
        <v>197</v>
      </c>
    </row>
    <row r="28" spans="1:5" x14ac:dyDescent="0.35">
      <c r="A28" s="15" t="s">
        <v>159</v>
      </c>
      <c r="C28" s="15" t="s">
        <v>161</v>
      </c>
      <c r="E28" s="16" t="s">
        <v>160</v>
      </c>
    </row>
    <row r="29" spans="1:5" x14ac:dyDescent="0.35">
      <c r="A29" s="10">
        <f>LARGE($E$2:$E$25,1)</f>
        <v>43</v>
      </c>
      <c r="C29" s="10" cm="1">
        <f t="array" ref="C29:C34">SMALL($E$2:$E$25,ROW($1:$6))</f>
        <v>1</v>
      </c>
      <c r="E29" s="10" cm="1">
        <f t="array" ref="E29:E33">LARGE($E$2:$E$25,ROW($1:$5))</f>
        <v>43</v>
      </c>
    </row>
    <row r="30" spans="1:5" x14ac:dyDescent="0.35">
      <c r="C30" s="10">
        <v>3</v>
      </c>
      <c r="E30" s="10">
        <v>19</v>
      </c>
    </row>
    <row r="31" spans="1:5" x14ac:dyDescent="0.35">
      <c r="C31" s="10">
        <v>3</v>
      </c>
      <c r="E31" s="10">
        <v>13</v>
      </c>
    </row>
    <row r="32" spans="1:5" x14ac:dyDescent="0.35">
      <c r="C32" s="10">
        <v>3</v>
      </c>
      <c r="E32" s="10">
        <v>12</v>
      </c>
    </row>
    <row r="33" spans="3:5" x14ac:dyDescent="0.35">
      <c r="C33" s="10">
        <v>4</v>
      </c>
      <c r="E33" s="10">
        <v>11</v>
      </c>
    </row>
    <row r="34" spans="3:5" x14ac:dyDescent="0.35">
      <c r="C34" s="10">
        <v>4</v>
      </c>
    </row>
  </sheetData>
  <sortState xmlns:xlrd2="http://schemas.microsoft.com/office/spreadsheetml/2017/richdata2" ref="D2:E25">
    <sortCondition ref="D2:D25"/>
  </sortState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9"/>
  <sheetViews>
    <sheetView zoomScale="70" zoomScaleNormal="70" workbookViewId="0">
      <selection activeCell="F56" sqref="F56"/>
    </sheetView>
  </sheetViews>
  <sheetFormatPr baseColWidth="10" defaultColWidth="8.7265625" defaultRowHeight="14.5" x14ac:dyDescent="0.35"/>
  <cols>
    <col min="1" max="1" width="13.26953125" bestFit="1" customWidth="1"/>
    <col min="2" max="2" width="10.7265625" bestFit="1" customWidth="1"/>
    <col min="4" max="4" width="10.1796875" bestFit="1" customWidth="1"/>
    <col min="7" max="7" width="19.7265625" style="8" bestFit="1" customWidth="1"/>
    <col min="9" max="9" width="15.453125" bestFit="1" customWidth="1"/>
    <col min="10" max="10" width="19.81640625" bestFit="1" customWidth="1"/>
    <col min="12" max="12" width="14.81640625" bestFit="1" customWidth="1"/>
    <col min="13" max="13" width="25" bestFit="1" customWidth="1"/>
    <col min="15" max="15" width="10.453125" bestFit="1" customWidth="1"/>
    <col min="16" max="16" width="11" bestFit="1" customWidth="1"/>
    <col min="17" max="17" width="9.81640625" bestFit="1" customWidth="1"/>
    <col min="18" max="18" width="11.453125" bestFit="1" customWidth="1"/>
    <col min="19" max="19" width="10.81640625" bestFit="1" customWidth="1"/>
  </cols>
  <sheetData>
    <row r="1" spans="1:19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idden="1" x14ac:dyDescent="0.3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hidden="1" x14ac:dyDescent="0.3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hidden="1" x14ac:dyDescent="0.3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hidden="1" x14ac:dyDescent="0.3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hidden="1" x14ac:dyDescent="0.3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hidden="1" x14ac:dyDescent="0.3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hidden="1" x14ac:dyDescent="0.3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hidden="1" x14ac:dyDescent="0.35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hidden="1" x14ac:dyDescent="0.35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hidden="1" x14ac:dyDescent="0.35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hidden="1" x14ac:dyDescent="0.35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hidden="1" x14ac:dyDescent="0.35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hidden="1" x14ac:dyDescent="0.35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hidden="1" x14ac:dyDescent="0.35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hidden="1" x14ac:dyDescent="0.35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hidden="1" x14ac:dyDescent="0.3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hidden="1" x14ac:dyDescent="0.35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hidden="1" x14ac:dyDescent="0.35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hidden="1" x14ac:dyDescent="0.35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hidden="1" x14ac:dyDescent="0.35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hidden="1" x14ac:dyDescent="0.35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hidden="1" x14ac:dyDescent="0.3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hidden="1" x14ac:dyDescent="0.35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hidden="1" x14ac:dyDescent="0.3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hidden="1" x14ac:dyDescent="0.35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hidden="1" x14ac:dyDescent="0.35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hidden="1" x14ac:dyDescent="0.35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hidden="1" x14ac:dyDescent="0.35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hidden="1" x14ac:dyDescent="0.35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hidden="1" x14ac:dyDescent="0.35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hidden="1" x14ac:dyDescent="0.35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hidden="1" x14ac:dyDescent="0.3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hidden="1" x14ac:dyDescent="0.35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hidden="1" x14ac:dyDescent="0.35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hidden="1" x14ac:dyDescent="0.35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hidden="1" x14ac:dyDescent="0.35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hidden="1" x14ac:dyDescent="0.35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hidden="1" x14ac:dyDescent="0.35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hidden="1" x14ac:dyDescent="0.35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hidden="1" x14ac:dyDescent="0.35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hidden="1" x14ac:dyDescent="0.35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hidden="1" x14ac:dyDescent="0.35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hidden="1" x14ac:dyDescent="0.35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hidden="1" x14ac:dyDescent="0.35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hidden="1" x14ac:dyDescent="0.35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hidden="1" x14ac:dyDescent="0.35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hidden="1" x14ac:dyDescent="0.35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hidden="1" x14ac:dyDescent="0.35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hidden="1" x14ac:dyDescent="0.35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hidden="1" x14ac:dyDescent="0.35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hidden="1" x14ac:dyDescent="0.35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hidden="1" x14ac:dyDescent="0.35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hidden="1" x14ac:dyDescent="0.35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hidden="1" x14ac:dyDescent="0.35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hidden="1" x14ac:dyDescent="0.35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hidden="1" x14ac:dyDescent="0.35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hidden="1" x14ac:dyDescent="0.35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hidden="1" x14ac:dyDescent="0.35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hidden="1" x14ac:dyDescent="0.35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hidden="1" x14ac:dyDescent="0.35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hidden="1" x14ac:dyDescent="0.35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5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5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5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5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5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5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5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5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5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5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hidden="1" x14ac:dyDescent="0.35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hidden="1" x14ac:dyDescent="0.35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hidden="1" x14ac:dyDescent="0.35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hidden="1" x14ac:dyDescent="0.35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hidden="1" x14ac:dyDescent="0.35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hidden="1" x14ac:dyDescent="0.35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hidden="1" x14ac:dyDescent="0.35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hidden="1" x14ac:dyDescent="0.35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hidden="1" x14ac:dyDescent="0.35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hidden="1" x14ac:dyDescent="0.35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hidden="1" x14ac:dyDescent="0.35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hidden="1" x14ac:dyDescent="0.35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hidden="1" x14ac:dyDescent="0.35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hidden="1" x14ac:dyDescent="0.35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hidden="1" x14ac:dyDescent="0.35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hidden="1" x14ac:dyDescent="0.35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hidden="1" x14ac:dyDescent="0.35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autoFilter ref="A1:S89" xr:uid="{00000000-0001-0000-0000-000000000000}">
    <filterColumn colId="1">
      <filters>
        <dateGroupItem year="2021" month="12" day="19" dateTimeGrouping="day"/>
      </filters>
    </filterColumn>
  </autoFilter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Hnos Ospino Martinez</cp:lastModifiedBy>
  <cp:revision/>
  <dcterms:created xsi:type="dcterms:W3CDTF">2022-11-04T20:14:11Z</dcterms:created>
  <dcterms:modified xsi:type="dcterms:W3CDTF">2026-09-23T00:42:07Z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